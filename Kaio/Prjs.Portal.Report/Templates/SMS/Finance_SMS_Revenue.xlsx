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997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M7" i="1"/>
  <c r="AM6"/>
  <c r="AL7"/>
  <c r="AL6"/>
  <c r="AK6"/>
  <c r="AJ7"/>
  <c r="AJ6"/>
  <c r="AJ15"/>
  <c r="AK7"/>
  <c r="AL15"/>
  <c r="AL14"/>
  <c r="AJ14"/>
  <c r="AJ12"/>
  <c r="AH8"/>
  <c r="AG8"/>
  <c r="AF8"/>
  <c r="AI7"/>
  <c r="AH7"/>
  <c r="AL8"/>
  <c r="AH6"/>
  <c r="AI6" s="1"/>
  <c r="AI8" s="1"/>
  <c r="N7"/>
  <c r="N6"/>
  <c r="I6"/>
  <c r="D6"/>
  <c r="B8"/>
  <c r="L8"/>
  <c r="AQ6"/>
  <c r="AQ8" s="1"/>
  <c r="AV6"/>
  <c r="AP7"/>
  <c r="AQ7"/>
  <c r="AV7"/>
  <c r="AV8"/>
  <c r="X6"/>
  <c r="X7"/>
  <c r="AB15"/>
  <c r="AB14"/>
  <c r="AB6" s="1"/>
  <c r="W8"/>
  <c r="R14"/>
  <c r="R6" s="1"/>
  <c r="M8"/>
  <c r="H14"/>
  <c r="D7"/>
  <c r="AR7" s="1"/>
  <c r="AK8" l="1"/>
  <c r="AN7"/>
  <c r="AJ8"/>
  <c r="AP6"/>
  <c r="AP8" s="1"/>
  <c r="AR6"/>
  <c r="AR8" s="1"/>
  <c r="AB7"/>
  <c r="R7"/>
  <c r="R15"/>
  <c r="X8"/>
  <c r="Y7"/>
  <c r="Y6"/>
  <c r="V8"/>
  <c r="Z12" s="1"/>
  <c r="Z14" s="1"/>
  <c r="O6"/>
  <c r="O7"/>
  <c r="R8"/>
  <c r="H7"/>
  <c r="H6"/>
  <c r="C8"/>
  <c r="F12"/>
  <c r="F14" s="1"/>
  <c r="E7"/>
  <c r="AS7" s="1"/>
  <c r="H15"/>
  <c r="AM8" l="1"/>
  <c r="AN6"/>
  <c r="AN8" s="1"/>
  <c r="E6"/>
  <c r="AS6" s="1"/>
  <c r="AS8" s="1"/>
  <c r="Z15"/>
  <c r="Z7"/>
  <c r="Z6"/>
  <c r="AA6" s="1"/>
  <c r="AB8"/>
  <c r="N8"/>
  <c r="Y8"/>
  <c r="O8"/>
  <c r="P12"/>
  <c r="P14" s="1"/>
  <c r="D8"/>
  <c r="F6"/>
  <c r="AT6" s="1"/>
  <c r="AT8" s="1"/>
  <c r="F15"/>
  <c r="F7"/>
  <c r="AT7" s="1"/>
  <c r="H8"/>
  <c r="P15" l="1"/>
  <c r="P6"/>
  <c r="Q6" s="1"/>
  <c r="P7"/>
  <c r="Q7" s="1"/>
  <c r="AA7"/>
  <c r="AC7" s="1"/>
  <c r="AD7" s="1"/>
  <c r="Z8"/>
  <c r="E8"/>
  <c r="G6"/>
  <c r="F8"/>
  <c r="G7"/>
  <c r="AW6" l="1"/>
  <c r="AW8" s="1"/>
  <c r="AU6"/>
  <c r="AU8" s="1"/>
  <c r="I7"/>
  <c r="AW7" s="1"/>
  <c r="AU7"/>
  <c r="S6"/>
  <c r="T6" s="1"/>
  <c r="S7"/>
  <c r="T7" s="1"/>
  <c r="P8"/>
  <c r="AA8"/>
  <c r="AC6"/>
  <c r="AD6" s="1"/>
  <c r="AD8" s="1"/>
  <c r="Q8"/>
  <c r="G8"/>
  <c r="J6" l="1"/>
  <c r="AX6" s="1"/>
  <c r="AX8" s="1"/>
  <c r="J7"/>
  <c r="AX7" s="1"/>
  <c r="I8"/>
  <c r="S8"/>
  <c r="T8"/>
  <c r="AC8"/>
  <c r="J8" l="1"/>
</calcChain>
</file>

<file path=xl/comments1.xml><?xml version="1.0" encoding="utf-8"?>
<comments xmlns="http://schemas.openxmlformats.org/spreadsheetml/2006/main">
  <authors>
    <author>Author</author>
  </authors>
  <commentList>
    <comment ref="D4" authorId="0">
      <text>
        <r>
          <rPr>
            <sz val="12"/>
            <color indexed="81"/>
            <rFont val="Tahoma"/>
            <family val="2"/>
          </rPr>
          <t>Đối với 997: 15% doanh thu
Đối với 6x66: 5% doanh thu
Đối với 8x79: ko có
Đối với 99x và 8x99: 15% doanh thu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" authorId="0">
      <text>
        <r>
          <rPr>
            <sz val="12"/>
            <color indexed="81"/>
            <rFont val="Tahoma"/>
            <family val="2"/>
          </rPr>
          <t>Đối với 997: 15% doanh thu
Đối với 6x66: 5% doanh thu
Đối với 8x79: ko có
Đối với 99x và 8x99: 15% doanh thu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" authorId="0">
      <text>
        <r>
          <rPr>
            <sz val="12"/>
            <color indexed="81"/>
            <rFont val="Tahoma"/>
            <family val="2"/>
          </rPr>
          <t>Đối với 997: 15% doanh thu
Đối với 6x66: 5% doanh thu
Đối với 8x79: ko có
Đối với 99x và 8x99: 15% doanh thu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4" authorId="0">
      <text>
        <r>
          <rPr>
            <sz val="12"/>
            <color indexed="81"/>
            <rFont val="Tahoma"/>
            <family val="2"/>
          </rPr>
          <t>Đối với 997: 15% doanh thu
Đối với 6x66: 5% doanh thu
Đối với 8x79: ko có
Đối với 99x và 8x99: 15% doanh thu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0">
      <text>
        <r>
          <rPr>
            <b/>
            <sz val="9"/>
            <color indexed="81"/>
            <rFont val="Tahoma"/>
            <family val="2"/>
          </rPr>
          <t>(MO-MT) * 91 đồng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4" authorId="0">
      <text>
        <r>
          <rPr>
            <b/>
            <sz val="9"/>
            <color indexed="81"/>
            <rFont val="Tahoma"/>
            <family val="2"/>
          </rPr>
          <t>15% doanh thu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>
      <text>
        <r>
          <rPr>
            <b/>
            <sz val="12"/>
            <color indexed="81"/>
            <rFont val="Times New Roman"/>
            <family val="1"/>
          </rPr>
          <t>Dung điền số liệu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3" authorId="0">
      <text>
        <r>
          <rPr>
            <b/>
            <sz val="12"/>
            <color indexed="81"/>
            <rFont val="Times New Roman"/>
            <family val="1"/>
          </rPr>
          <t>Dung điền số liệu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3" authorId="0">
      <text>
        <r>
          <rPr>
            <b/>
            <sz val="12"/>
            <color indexed="81"/>
            <rFont val="Times New Roman"/>
            <family val="1"/>
          </rPr>
          <t>Dung điền số liệu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3" authorId="0">
      <text>
        <r>
          <rPr>
            <b/>
            <sz val="12"/>
            <color indexed="81"/>
            <rFont val="Times New Roman"/>
            <family val="1"/>
          </rPr>
          <t>Dung điền số liệu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" authorId="0">
      <text>
        <r>
          <rPr>
            <b/>
            <sz val="12"/>
            <color indexed="81"/>
            <rFont val="Times New Roman"/>
            <family val="1"/>
          </rPr>
          <t>Dung điền số liệu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6" authorId="0">
      <text>
        <r>
          <rPr>
            <b/>
            <sz val="12"/>
            <color indexed="81"/>
            <rFont val="Times New Roman"/>
            <family val="1"/>
          </rPr>
          <t>Dung điền số liệu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6" authorId="0">
      <text>
        <r>
          <rPr>
            <b/>
            <sz val="12"/>
            <color indexed="81"/>
            <rFont val="Times New Roman"/>
            <family val="1"/>
          </rPr>
          <t>Dung điền số liệu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6" authorId="0">
      <text>
        <r>
          <rPr>
            <b/>
            <sz val="12"/>
            <color indexed="81"/>
            <rFont val="Times New Roman"/>
            <family val="1"/>
          </rPr>
          <t>Dung điền số liệu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<sst xmlns="http://schemas.openxmlformats.org/spreadsheetml/2006/main" count="178" uniqueCount="42">
  <si>
    <t>997_Viettel</t>
  </si>
  <si>
    <t>Tháng 1/2015</t>
  </si>
  <si>
    <t>Tháng 2/2015</t>
  </si>
  <si>
    <t>Tháng 3/2015</t>
  </si>
  <si>
    <t>Tháng 4/2015</t>
  </si>
  <si>
    <t>Lũy kế đến tháng báo cáo</t>
  </si>
  <si>
    <t>Tên đối tác</t>
  </si>
  <si>
    <t>Số liệu hệ thống/tạm tính</t>
  </si>
  <si>
    <t>Số liệu quyết toán theo biên bản đối soát</t>
  </si>
  <si>
    <t>C/lệch Quyết toán - Tạm tính</t>
  </si>
  <si>
    <t>Doanh thu</t>
  </si>
  <si>
    <t>MT vượt</t>
  </si>
  <si>
    <t xml:space="preserve">Trả đối tác </t>
  </si>
  <si>
    <t>DT về đơn vị</t>
  </si>
  <si>
    <t>Trả đối tác</t>
  </si>
  <si>
    <t>MT</t>
  </si>
  <si>
    <t>Trả đối tác VNN</t>
  </si>
  <si>
    <t>(1)</t>
  </si>
  <si>
    <t xml:space="preserve">(2) </t>
  </si>
  <si>
    <t>(3) = (2) *15%</t>
  </si>
  <si>
    <t>(4) = (1) - (3) - (2)</t>
  </si>
  <si>
    <t>(5)</t>
  </si>
  <si>
    <t>(6)</t>
  </si>
  <si>
    <t xml:space="preserve"> (7)</t>
  </si>
  <si>
    <t>(8) = (5) - (6) - (7)</t>
  </si>
  <si>
    <t xml:space="preserve"> (9) = (4) - (8)</t>
  </si>
  <si>
    <t>(2) = ( MO - MT) *91</t>
  </si>
  <si>
    <t>SUBCPS</t>
  </si>
  <si>
    <t>INCOM</t>
  </si>
  <si>
    <t>LUCKY_FONE</t>
  </si>
  <si>
    <t>Tổng</t>
  </si>
  <si>
    <t>Số liệu theo biên bản đối soát thực tế với Viettel</t>
  </si>
  <si>
    <t>Doanh thu hệ thống</t>
  </si>
  <si>
    <t>MT hệ thống</t>
  </si>
  <si>
    <t>Doanh thu thực tế</t>
  </si>
  <si>
    <t>MT thực tế</t>
  </si>
  <si>
    <t>DT QT/DT HT</t>
  </si>
  <si>
    <t>MT QT/ HT</t>
  </si>
  <si>
    <t>Tỷ lệ thất thoát</t>
  </si>
  <si>
    <t>Tỷ lệ chênh lệch</t>
  </si>
  <si>
    <t>Doanh thu khuyến khích</t>
  </si>
  <si>
    <t>997/VIETTEL</t>
  </si>
</sst>
</file>

<file path=xl/styles.xml><?xml version="1.0" encoding="utf-8"?>
<styleSheet xmlns="http://schemas.openxmlformats.org/spreadsheetml/2006/main">
  <numFmts count="5">
    <numFmt numFmtId="41" formatCode="_(* #,##0_);_(* \(#,##0\);_(* &quot;-&quot;_);_(@_)"/>
    <numFmt numFmtId="164" formatCode="_-* #,##0_-;\-* #,##0_-;_-* &quot;-&quot;_-;_-@_-"/>
    <numFmt numFmtId="165" formatCode="0.000%"/>
    <numFmt numFmtId="166" formatCode="0.0000%"/>
    <numFmt numFmtId="167" formatCode="0.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.VnTimeH"/>
      <family val="2"/>
    </font>
    <font>
      <sz val="14"/>
      <color theme="1"/>
      <name val=".VnTime"/>
      <family val="2"/>
    </font>
    <font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Cambria"/>
      <family val="1"/>
      <charset val="163"/>
      <scheme val="maj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0"/>
      <name val="Times New Roman"/>
      <family val="1"/>
    </font>
    <font>
      <b/>
      <sz val="14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Tahoma"/>
      <family val="2"/>
    </font>
    <font>
      <b/>
      <sz val="12"/>
      <color indexed="8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3" fontId="5" fillId="4" borderId="3" xfId="0" applyNumberFormat="1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/>
    </xf>
    <xf numFmtId="3" fontId="5" fillId="4" borderId="6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3" fontId="5" fillId="4" borderId="9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164" fontId="7" fillId="0" borderId="11" xfId="1" applyNumberFormat="1" applyFont="1" applyBorder="1" applyAlignment="1">
      <alignment vertical="center"/>
    </xf>
    <xf numFmtId="3" fontId="7" fillId="0" borderId="11" xfId="2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2" xfId="0" applyFont="1" applyBorder="1" applyAlignment="1">
      <alignment horizontal="left" vertical="center" wrapText="1"/>
    </xf>
    <xf numFmtId="164" fontId="8" fillId="0" borderId="6" xfId="1" applyNumberFormat="1" applyFont="1" applyBorder="1" applyAlignment="1">
      <alignment vertical="center"/>
    </xf>
    <xf numFmtId="3" fontId="8" fillId="0" borderId="6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5" fontId="4" fillId="0" borderId="0" xfId="2" applyNumberFormat="1" applyFont="1" applyAlignment="1">
      <alignment vertical="center"/>
    </xf>
    <xf numFmtId="3" fontId="4" fillId="0" borderId="0" xfId="2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9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4" fillId="0" borderId="0" xfId="2" applyNumberFormat="1" applyFont="1" applyAlignment="1">
      <alignment vertical="center"/>
    </xf>
    <xf numFmtId="164" fontId="7" fillId="0" borderId="0" xfId="2" applyNumberFormat="1" applyFont="1" applyAlignment="1">
      <alignment vertical="center"/>
    </xf>
    <xf numFmtId="165" fontId="7" fillId="0" borderId="0" xfId="2" applyNumberFormat="1" applyFont="1" applyAlignment="1">
      <alignment vertical="center"/>
    </xf>
    <xf numFmtId="3" fontId="4" fillId="7" borderId="0" xfId="0" applyNumberFormat="1" applyFont="1" applyFill="1" applyAlignment="1">
      <alignment vertical="center"/>
    </xf>
    <xf numFmtId="164" fontId="4" fillId="7" borderId="0" xfId="2" applyNumberFormat="1" applyFont="1" applyFill="1" applyAlignment="1">
      <alignment vertical="center"/>
    </xf>
    <xf numFmtId="164" fontId="7" fillId="7" borderId="0" xfId="2" applyNumberFormat="1" applyFont="1" applyFill="1" applyAlignment="1">
      <alignment vertical="center"/>
    </xf>
    <xf numFmtId="166" fontId="4" fillId="0" borderId="0" xfId="2" applyNumberFormat="1" applyFont="1" applyAlignment="1">
      <alignment vertical="center"/>
    </xf>
    <xf numFmtId="167" fontId="4" fillId="7" borderId="0" xfId="2" applyNumberFormat="1" applyFont="1" applyFill="1" applyAlignment="1">
      <alignment vertical="center"/>
    </xf>
    <xf numFmtId="164" fontId="7" fillId="7" borderId="0" xfId="0" applyNumberFormat="1" applyFont="1" applyFill="1" applyAlignment="1">
      <alignment vertical="center"/>
    </xf>
    <xf numFmtId="164" fontId="7" fillId="0" borderId="0" xfId="0" applyNumberFormat="1" applyFont="1" applyAlignment="1">
      <alignment vertical="center"/>
    </xf>
    <xf numFmtId="164" fontId="7" fillId="0" borderId="0" xfId="1" applyNumberFormat="1" applyFont="1" applyBorder="1" applyAlignment="1">
      <alignment vertical="center"/>
    </xf>
    <xf numFmtId="9" fontId="7" fillId="7" borderId="0" xfId="2" applyFont="1" applyFill="1" applyAlignment="1">
      <alignment vertical="center"/>
    </xf>
    <xf numFmtId="165" fontId="8" fillId="0" borderId="0" xfId="2" applyNumberFormat="1" applyFont="1" applyAlignment="1">
      <alignment vertical="center"/>
    </xf>
    <xf numFmtId="0" fontId="10" fillId="0" borderId="0" xfId="0" applyFont="1" applyAlignment="1">
      <alignment vertical="center"/>
    </xf>
    <xf numFmtId="165" fontId="10" fillId="0" borderId="0" xfId="2" applyNumberFormat="1" applyFont="1" applyAlignment="1">
      <alignment vertical="center"/>
    </xf>
    <xf numFmtId="164" fontId="8" fillId="7" borderId="0" xfId="2" applyNumberFormat="1" applyFont="1" applyFill="1" applyAlignment="1">
      <alignment vertical="center"/>
    </xf>
    <xf numFmtId="164" fontId="8" fillId="7" borderId="0" xfId="0" applyNumberFormat="1" applyFont="1" applyFill="1" applyAlignment="1">
      <alignment vertical="center"/>
    </xf>
    <xf numFmtId="164" fontId="8" fillId="0" borderId="0" xfId="0" applyNumberFormat="1" applyFont="1" applyAlignment="1">
      <alignment vertical="center"/>
    </xf>
    <xf numFmtId="164" fontId="8" fillId="0" borderId="0" xfId="2" applyNumberFormat="1" applyFont="1" applyAlignment="1">
      <alignment vertical="center"/>
    </xf>
    <xf numFmtId="164" fontId="4" fillId="0" borderId="0" xfId="0" applyNumberFormat="1" applyFont="1" applyBorder="1" applyAlignment="1">
      <alignment vertical="center"/>
    </xf>
    <xf numFmtId="3" fontId="4" fillId="0" borderId="0" xfId="0" applyNumberFormat="1" applyFont="1" applyBorder="1" applyAlignment="1">
      <alignment vertical="center"/>
    </xf>
    <xf numFmtId="165" fontId="4" fillId="0" borderId="0" xfId="2" applyNumberFormat="1" applyFont="1" applyBorder="1" applyAlignment="1">
      <alignment vertical="center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4" borderId="10" xfId="0" applyNumberFormat="1" applyFont="1" applyFill="1" applyBorder="1" applyAlignment="1">
      <alignment horizontal="center" vertical="center" wrapText="1"/>
    </xf>
    <xf numFmtId="3" fontId="5" fillId="4" borderId="5" xfId="0" applyNumberFormat="1" applyFont="1" applyFill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16"/>
  <sheetViews>
    <sheetView tabSelected="1" topLeftCell="AD1" zoomScale="90" zoomScaleNormal="90" workbookViewId="0">
      <selection activeCell="AN7" sqref="AN7"/>
    </sheetView>
  </sheetViews>
  <sheetFormatPr defaultRowHeight="15"/>
  <cols>
    <col min="1" max="1" width="16" bestFit="1" customWidth="1"/>
    <col min="2" max="2" width="16" customWidth="1"/>
    <col min="3" max="3" width="10.28515625" bestFit="1" customWidth="1"/>
    <col min="4" max="4" width="16.7109375" bestFit="1" customWidth="1"/>
    <col min="5" max="5" width="24.5703125" bestFit="1" customWidth="1"/>
    <col min="6" max="6" width="19.85546875" bestFit="1" customWidth="1"/>
    <col min="7" max="7" width="20.7109375" bestFit="1" customWidth="1"/>
    <col min="8" max="8" width="11" bestFit="1" customWidth="1"/>
    <col min="9" max="9" width="20.140625" bestFit="1" customWidth="1"/>
    <col min="10" max="10" width="17.5703125" bestFit="1" customWidth="1"/>
    <col min="11" max="12" width="16" bestFit="1" customWidth="1"/>
    <col min="13" max="13" width="10.28515625" bestFit="1" customWidth="1"/>
    <col min="14" max="14" width="16.7109375" bestFit="1" customWidth="1"/>
    <col min="15" max="15" width="24.5703125" bestFit="1" customWidth="1"/>
    <col min="16" max="16" width="19.85546875" bestFit="1" customWidth="1"/>
    <col min="17" max="17" width="20.7109375" bestFit="1" customWidth="1"/>
    <col min="18" max="18" width="11" bestFit="1" customWidth="1"/>
    <col min="19" max="19" width="20.140625" bestFit="1" customWidth="1"/>
    <col min="20" max="20" width="17.5703125" bestFit="1" customWidth="1"/>
    <col min="21" max="21" width="16" bestFit="1" customWidth="1"/>
    <col min="22" max="22" width="17.28515625" bestFit="1" customWidth="1"/>
    <col min="23" max="23" width="10.28515625" bestFit="1" customWidth="1"/>
    <col min="24" max="24" width="16.7109375" bestFit="1" customWidth="1"/>
    <col min="25" max="25" width="24.5703125" bestFit="1" customWidth="1"/>
    <col min="26" max="26" width="19.85546875" bestFit="1" customWidth="1"/>
    <col min="27" max="27" width="20.7109375" bestFit="1" customWidth="1"/>
    <col min="28" max="28" width="11.5703125" bestFit="1" customWidth="1"/>
    <col min="29" max="29" width="20.140625" bestFit="1" customWidth="1"/>
    <col min="30" max="30" width="17.5703125" bestFit="1" customWidth="1"/>
    <col min="31" max="31" width="16" bestFit="1" customWidth="1"/>
    <col min="32" max="32" width="17.28515625" bestFit="1" customWidth="1"/>
    <col min="33" max="33" width="10.28515625" bestFit="1" customWidth="1"/>
    <col min="34" max="34" width="16.7109375" bestFit="1" customWidth="1"/>
    <col min="35" max="35" width="24.5703125" bestFit="1" customWidth="1"/>
    <col min="36" max="36" width="19.85546875" bestFit="1" customWidth="1"/>
    <col min="37" max="37" width="20.7109375" bestFit="1" customWidth="1"/>
    <col min="38" max="38" width="11.5703125" bestFit="1" customWidth="1"/>
    <col min="39" max="39" width="20.140625" bestFit="1" customWidth="1"/>
    <col min="40" max="40" width="17.5703125" bestFit="1" customWidth="1"/>
    <col min="41" max="42" width="16" bestFit="1" customWidth="1"/>
    <col min="43" max="43" width="23.85546875" bestFit="1" customWidth="1"/>
    <col min="44" max="44" width="18.5703125" bestFit="1" customWidth="1"/>
    <col min="45" max="45" width="20.140625" bestFit="1" customWidth="1"/>
    <col min="46" max="47" width="16" bestFit="1" customWidth="1"/>
    <col min="48" max="48" width="11.85546875" bestFit="1" customWidth="1"/>
    <col min="49" max="49" width="20.140625" bestFit="1" customWidth="1"/>
    <col min="50" max="50" width="17.5703125" bestFit="1" customWidth="1"/>
  </cols>
  <sheetData>
    <row r="1" spans="1:50" s="2" customFormat="1" ht="36" customHeight="1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 t="s">
        <v>41</v>
      </c>
      <c r="L1" s="1"/>
      <c r="M1" s="1"/>
      <c r="N1" s="1"/>
      <c r="O1" s="1"/>
      <c r="P1" s="1"/>
      <c r="Q1" s="1"/>
      <c r="R1" s="1"/>
      <c r="S1" s="1"/>
      <c r="T1" s="1"/>
      <c r="U1" s="1" t="s">
        <v>41</v>
      </c>
      <c r="V1" s="1"/>
      <c r="W1" s="1"/>
      <c r="X1" s="1"/>
      <c r="Y1" s="1"/>
      <c r="Z1" s="1"/>
      <c r="AA1" s="1"/>
      <c r="AB1" s="1"/>
      <c r="AC1" s="1"/>
      <c r="AD1" s="1"/>
      <c r="AE1" s="1" t="s">
        <v>41</v>
      </c>
      <c r="AF1" s="1"/>
      <c r="AG1" s="1"/>
      <c r="AH1" s="1"/>
      <c r="AI1" s="1"/>
      <c r="AJ1" s="1"/>
      <c r="AK1" s="1"/>
      <c r="AL1" s="1"/>
      <c r="AM1" s="1"/>
      <c r="AN1" s="1"/>
      <c r="AO1" s="1" t="s">
        <v>0</v>
      </c>
      <c r="AP1" s="1"/>
      <c r="AQ1" s="1"/>
      <c r="AR1" s="1"/>
      <c r="AS1" s="1"/>
      <c r="AT1" s="1"/>
      <c r="AU1" s="1"/>
      <c r="AV1" s="1"/>
      <c r="AW1" s="1"/>
      <c r="AX1" s="1"/>
    </row>
    <row r="2" spans="1:50" s="2" customFormat="1" ht="34.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 t="s">
        <v>2</v>
      </c>
      <c r="L2" s="3"/>
      <c r="M2" s="3"/>
      <c r="N2" s="3"/>
      <c r="O2" s="3"/>
      <c r="P2" s="3"/>
      <c r="Q2" s="3"/>
      <c r="R2" s="3"/>
      <c r="S2" s="3"/>
      <c r="T2" s="3"/>
      <c r="U2" s="3" t="s">
        <v>3</v>
      </c>
      <c r="V2" s="3"/>
      <c r="W2" s="3"/>
      <c r="X2" s="3"/>
      <c r="Y2" s="3"/>
      <c r="Z2" s="3"/>
      <c r="AA2" s="3"/>
      <c r="AB2" s="3"/>
      <c r="AC2" s="3"/>
      <c r="AD2" s="3"/>
      <c r="AE2" s="3" t="s">
        <v>4</v>
      </c>
      <c r="AF2" s="3"/>
      <c r="AG2" s="3"/>
      <c r="AH2" s="3"/>
      <c r="AI2" s="3"/>
      <c r="AJ2" s="3"/>
      <c r="AK2" s="3"/>
      <c r="AL2" s="3"/>
      <c r="AM2" s="3"/>
      <c r="AN2" s="3"/>
      <c r="AO2" s="4" t="s">
        <v>5</v>
      </c>
      <c r="AP2" s="4"/>
      <c r="AQ2" s="4"/>
      <c r="AR2" s="4"/>
      <c r="AS2" s="4"/>
      <c r="AT2" s="4"/>
      <c r="AU2" s="4"/>
      <c r="AV2" s="4"/>
      <c r="AW2" s="4"/>
      <c r="AX2" s="4"/>
    </row>
    <row r="3" spans="1:50" s="12" customFormat="1" ht="33" customHeight="1">
      <c r="A3" s="5" t="s">
        <v>6</v>
      </c>
      <c r="B3" s="6" t="s">
        <v>7</v>
      </c>
      <c r="C3" s="7"/>
      <c r="D3" s="7"/>
      <c r="E3" s="8"/>
      <c r="F3" s="9" t="s">
        <v>8</v>
      </c>
      <c r="G3" s="10"/>
      <c r="H3" s="10"/>
      <c r="I3" s="10"/>
      <c r="J3" s="11" t="s">
        <v>9</v>
      </c>
      <c r="K3" s="5" t="s">
        <v>6</v>
      </c>
      <c r="L3" s="6" t="s">
        <v>7</v>
      </c>
      <c r="M3" s="7"/>
      <c r="N3" s="7"/>
      <c r="O3" s="8"/>
      <c r="P3" s="9" t="s">
        <v>8</v>
      </c>
      <c r="Q3" s="10"/>
      <c r="R3" s="10"/>
      <c r="S3" s="10"/>
      <c r="T3" s="11" t="s">
        <v>9</v>
      </c>
      <c r="U3" s="5" t="s">
        <v>6</v>
      </c>
      <c r="V3" s="6" t="s">
        <v>7</v>
      </c>
      <c r="W3" s="7"/>
      <c r="X3" s="7"/>
      <c r="Y3" s="8"/>
      <c r="Z3" s="9" t="s">
        <v>8</v>
      </c>
      <c r="AA3" s="10"/>
      <c r="AB3" s="10"/>
      <c r="AC3" s="10"/>
      <c r="AD3" s="11" t="s">
        <v>9</v>
      </c>
      <c r="AE3" s="5" t="s">
        <v>6</v>
      </c>
      <c r="AF3" s="6" t="s">
        <v>7</v>
      </c>
      <c r="AG3" s="7"/>
      <c r="AH3" s="7"/>
      <c r="AI3" s="8"/>
      <c r="AJ3" s="9" t="s">
        <v>8</v>
      </c>
      <c r="AK3" s="10"/>
      <c r="AL3" s="10"/>
      <c r="AM3" s="10"/>
      <c r="AN3" s="11" t="s">
        <v>9</v>
      </c>
      <c r="AO3" s="5" t="s">
        <v>6</v>
      </c>
      <c r="AP3" s="6" t="s">
        <v>7</v>
      </c>
      <c r="AQ3" s="7"/>
      <c r="AR3" s="7"/>
      <c r="AS3" s="8"/>
      <c r="AT3" s="9" t="s">
        <v>8</v>
      </c>
      <c r="AU3" s="10"/>
      <c r="AV3" s="10"/>
      <c r="AW3" s="60"/>
      <c r="AX3" s="58" t="s">
        <v>9</v>
      </c>
    </row>
    <row r="4" spans="1:50" s="19" customFormat="1" ht="34.5" customHeight="1">
      <c r="A4" s="13"/>
      <c r="B4" s="17" t="s">
        <v>10</v>
      </c>
      <c r="C4" s="18" t="s">
        <v>11</v>
      </c>
      <c r="D4" s="14" t="s">
        <v>12</v>
      </c>
      <c r="E4" s="14" t="s">
        <v>13</v>
      </c>
      <c r="F4" s="15" t="s">
        <v>10</v>
      </c>
      <c r="G4" s="15" t="s">
        <v>14</v>
      </c>
      <c r="H4" s="16" t="s">
        <v>15</v>
      </c>
      <c r="I4" s="15" t="s">
        <v>13</v>
      </c>
      <c r="J4" s="11"/>
      <c r="K4" s="13"/>
      <c r="L4" s="17" t="s">
        <v>10</v>
      </c>
      <c r="M4" s="18" t="s">
        <v>11</v>
      </c>
      <c r="N4" s="14" t="s">
        <v>12</v>
      </c>
      <c r="O4" s="14" t="s">
        <v>13</v>
      </c>
      <c r="P4" s="15" t="s">
        <v>10</v>
      </c>
      <c r="Q4" s="15" t="s">
        <v>14</v>
      </c>
      <c r="R4" s="16" t="s">
        <v>15</v>
      </c>
      <c r="S4" s="15" t="s">
        <v>13</v>
      </c>
      <c r="T4" s="11"/>
      <c r="U4" s="13"/>
      <c r="V4" s="17" t="s">
        <v>10</v>
      </c>
      <c r="W4" s="18" t="s">
        <v>11</v>
      </c>
      <c r="X4" s="14" t="s">
        <v>12</v>
      </c>
      <c r="Y4" s="14" t="s">
        <v>13</v>
      </c>
      <c r="Z4" s="15" t="s">
        <v>10</v>
      </c>
      <c r="AA4" s="15" t="s">
        <v>14</v>
      </c>
      <c r="AB4" s="16" t="s">
        <v>15</v>
      </c>
      <c r="AC4" s="15" t="s">
        <v>13</v>
      </c>
      <c r="AD4" s="11"/>
      <c r="AE4" s="13"/>
      <c r="AF4" s="17" t="s">
        <v>10</v>
      </c>
      <c r="AG4" s="18" t="s">
        <v>11</v>
      </c>
      <c r="AH4" s="14" t="s">
        <v>12</v>
      </c>
      <c r="AI4" s="14" t="s">
        <v>13</v>
      </c>
      <c r="AJ4" s="15" t="s">
        <v>10</v>
      </c>
      <c r="AK4" s="15" t="s">
        <v>14</v>
      </c>
      <c r="AL4" s="16" t="s">
        <v>15</v>
      </c>
      <c r="AM4" s="15" t="s">
        <v>13</v>
      </c>
      <c r="AN4" s="11"/>
      <c r="AO4" s="13"/>
      <c r="AP4" s="17" t="s">
        <v>10</v>
      </c>
      <c r="AQ4" s="18" t="s">
        <v>11</v>
      </c>
      <c r="AR4" s="14" t="s">
        <v>16</v>
      </c>
      <c r="AS4" s="14" t="s">
        <v>13</v>
      </c>
      <c r="AT4" s="15" t="s">
        <v>10</v>
      </c>
      <c r="AU4" s="15" t="s">
        <v>14</v>
      </c>
      <c r="AV4" s="16" t="s">
        <v>15</v>
      </c>
      <c r="AW4" s="15" t="s">
        <v>13</v>
      </c>
      <c r="AX4" s="59"/>
    </row>
    <row r="5" spans="1:50" s="19" customFormat="1" ht="27.75" customHeight="1">
      <c r="A5" s="20"/>
      <c r="B5" s="21" t="s">
        <v>17</v>
      </c>
      <c r="C5" s="21" t="s">
        <v>18</v>
      </c>
      <c r="D5" s="21" t="s">
        <v>19</v>
      </c>
      <c r="E5" s="21" t="s">
        <v>20</v>
      </c>
      <c r="F5" s="21" t="s">
        <v>21</v>
      </c>
      <c r="G5" s="21" t="s">
        <v>22</v>
      </c>
      <c r="H5" s="21" t="s">
        <v>23</v>
      </c>
      <c r="I5" s="21" t="s">
        <v>24</v>
      </c>
      <c r="J5" s="21" t="s">
        <v>25</v>
      </c>
      <c r="K5" s="20"/>
      <c r="L5" s="21" t="s">
        <v>17</v>
      </c>
      <c r="M5" s="21" t="s">
        <v>18</v>
      </c>
      <c r="N5" s="21" t="s">
        <v>19</v>
      </c>
      <c r="O5" s="21" t="s">
        <v>20</v>
      </c>
      <c r="P5" s="21" t="s">
        <v>21</v>
      </c>
      <c r="Q5" s="21" t="s">
        <v>22</v>
      </c>
      <c r="R5" s="21" t="s">
        <v>23</v>
      </c>
      <c r="S5" s="21" t="s">
        <v>24</v>
      </c>
      <c r="T5" s="21" t="s">
        <v>25</v>
      </c>
      <c r="U5" s="20"/>
      <c r="V5" s="21" t="s">
        <v>17</v>
      </c>
      <c r="W5" s="21" t="s">
        <v>18</v>
      </c>
      <c r="X5" s="21" t="s">
        <v>19</v>
      </c>
      <c r="Y5" s="21" t="s">
        <v>20</v>
      </c>
      <c r="Z5" s="21" t="s">
        <v>21</v>
      </c>
      <c r="AA5" s="21" t="s">
        <v>22</v>
      </c>
      <c r="AB5" s="21" t="s">
        <v>23</v>
      </c>
      <c r="AC5" s="21" t="s">
        <v>24</v>
      </c>
      <c r="AD5" s="21" t="s">
        <v>25</v>
      </c>
      <c r="AE5" s="20"/>
      <c r="AF5" s="21" t="s">
        <v>17</v>
      </c>
      <c r="AG5" s="21" t="s">
        <v>18</v>
      </c>
      <c r="AH5" s="21" t="s">
        <v>19</v>
      </c>
      <c r="AI5" s="21" t="s">
        <v>20</v>
      </c>
      <c r="AJ5" s="21" t="s">
        <v>21</v>
      </c>
      <c r="AK5" s="21" t="s">
        <v>22</v>
      </c>
      <c r="AL5" s="21" t="s">
        <v>23</v>
      </c>
      <c r="AM5" s="21" t="s">
        <v>24</v>
      </c>
      <c r="AN5" s="21" t="s">
        <v>25</v>
      </c>
      <c r="AO5" s="20"/>
      <c r="AP5" s="21" t="s">
        <v>17</v>
      </c>
      <c r="AQ5" s="21" t="s">
        <v>26</v>
      </c>
      <c r="AR5" s="21" t="s">
        <v>19</v>
      </c>
      <c r="AS5" s="21" t="s">
        <v>20</v>
      </c>
      <c r="AT5" s="21" t="s">
        <v>21</v>
      </c>
      <c r="AU5" s="21" t="s">
        <v>22</v>
      </c>
      <c r="AV5" s="21" t="s">
        <v>23</v>
      </c>
      <c r="AW5" s="21" t="s">
        <v>24</v>
      </c>
      <c r="AX5" s="21" t="s">
        <v>25</v>
      </c>
    </row>
    <row r="6" spans="1:50" s="25" customFormat="1" ht="24.95" customHeight="1">
      <c r="A6" s="22" t="s">
        <v>27</v>
      </c>
      <c r="B6" s="23">
        <v>3044214</v>
      </c>
      <c r="C6" s="24">
        <v>120575</v>
      </c>
      <c r="D6" s="23">
        <f>B6*15%</f>
        <v>456632.1</v>
      </c>
      <c r="E6" s="24">
        <f>B6-D6-C6</f>
        <v>2467006.9</v>
      </c>
      <c r="F6" s="23">
        <f>$F$14*B6</f>
        <v>3001974.2580404985</v>
      </c>
      <c r="G6" s="23">
        <f>F6*15%</f>
        <v>450296.13870607474</v>
      </c>
      <c r="H6" s="23">
        <f>$H$14*C6</f>
        <v>108517.5</v>
      </c>
      <c r="I6" s="23">
        <f>F6-G6-H6</f>
        <v>2443160.6193344239</v>
      </c>
      <c r="J6" s="23">
        <f>I6-E6</f>
        <v>-23846.280665575992</v>
      </c>
      <c r="K6" s="22" t="s">
        <v>27</v>
      </c>
      <c r="L6" s="23">
        <v>3044214</v>
      </c>
      <c r="M6" s="24">
        <v>120575</v>
      </c>
      <c r="N6" s="23">
        <f>L6*15%</f>
        <v>456632.1</v>
      </c>
      <c r="O6" s="24">
        <f>L6-N6-M6</f>
        <v>2467006.9</v>
      </c>
      <c r="P6" s="23">
        <f>$P$14*L6</f>
        <v>3001974.2580404985</v>
      </c>
      <c r="Q6" s="23">
        <f>P6*15%</f>
        <v>450296.13870607474</v>
      </c>
      <c r="R6" s="23">
        <f>$R$14*M6</f>
        <v>108517.5</v>
      </c>
      <c r="S6" s="23">
        <f>P6-Q6-R6</f>
        <v>2443160.6193344239</v>
      </c>
      <c r="T6" s="23">
        <f>S6-O6</f>
        <v>-23846.280665575992</v>
      </c>
      <c r="U6" s="22" t="s">
        <v>27</v>
      </c>
      <c r="V6" s="23">
        <v>3044214</v>
      </c>
      <c r="W6" s="24">
        <v>120575</v>
      </c>
      <c r="X6" s="23">
        <f>V6*15%</f>
        <v>456632.1</v>
      </c>
      <c r="Y6" s="24">
        <f>V6-X6-W6</f>
        <v>2467006.9</v>
      </c>
      <c r="Z6" s="23">
        <f>$Z$14*V6</f>
        <v>3001974.2580404985</v>
      </c>
      <c r="AA6" s="23">
        <f>Z6*15%</f>
        <v>450296.13870607474</v>
      </c>
      <c r="AB6" s="23">
        <f>$AB$14*W6</f>
        <v>108517.5</v>
      </c>
      <c r="AC6" s="23">
        <f>Z6-AA6-AB6</f>
        <v>2443160.6193344239</v>
      </c>
      <c r="AD6" s="23">
        <f>AC6-Y6</f>
        <v>-23846.280665575992</v>
      </c>
      <c r="AE6" s="22" t="s">
        <v>27</v>
      </c>
      <c r="AF6" s="23">
        <v>3044214</v>
      </c>
      <c r="AG6" s="24">
        <v>120575</v>
      </c>
      <c r="AH6" s="23">
        <f>AF6*15%</f>
        <v>456632.1</v>
      </c>
      <c r="AI6" s="24">
        <f>AF6-AH6-AG6</f>
        <v>2467006.9</v>
      </c>
      <c r="AJ6" s="23">
        <f>$AJ$14*AF6</f>
        <v>3001974.2580404985</v>
      </c>
      <c r="AK6" s="23">
        <f>AJ6*15%</f>
        <v>450296.13870607474</v>
      </c>
      <c r="AL6" s="23">
        <f>$AL$14*AG6</f>
        <v>108517.5</v>
      </c>
      <c r="AM6" s="23">
        <f>AJ6-AK6-AL6</f>
        <v>2443160.6193344239</v>
      </c>
      <c r="AN6" s="23">
        <f>AM6-AI6</f>
        <v>-23846.280665575992</v>
      </c>
      <c r="AO6" s="22" t="s">
        <v>28</v>
      </c>
      <c r="AP6" s="23" t="e">
        <f>B6+#REF!+#REF!+#REF!</f>
        <v>#REF!</v>
      </c>
      <c r="AQ6" s="23" t="e">
        <f>C6+#REF!+#REF!+#REF!</f>
        <v>#REF!</v>
      </c>
      <c r="AR6" s="23" t="e">
        <f>D6+#REF!+#REF!+#REF!</f>
        <v>#REF!</v>
      </c>
      <c r="AS6" s="23" t="e">
        <f>E6+#REF!+#REF!+#REF!</f>
        <v>#REF!</v>
      </c>
      <c r="AT6" s="23" t="e">
        <f>F6+#REF!+#REF!+#REF!</f>
        <v>#REF!</v>
      </c>
      <c r="AU6" s="23" t="e">
        <f>G6+#REF!+#REF!+#REF!</f>
        <v>#REF!</v>
      </c>
      <c r="AV6" s="23" t="e">
        <f>H6+#REF!+#REF!+#REF!</f>
        <v>#REF!</v>
      </c>
      <c r="AW6" s="23" t="e">
        <f>I6+#REF!+#REF!+#REF!</f>
        <v>#REF!</v>
      </c>
      <c r="AX6" s="23" t="e">
        <f>J6+#REF!+#REF!+#REF!</f>
        <v>#REF!</v>
      </c>
    </row>
    <row r="7" spans="1:50" s="25" customFormat="1" ht="24.95" customHeight="1">
      <c r="A7" s="26" t="s">
        <v>29</v>
      </c>
      <c r="B7" s="23">
        <v>3546203076</v>
      </c>
      <c r="C7" s="24">
        <v>-797524</v>
      </c>
      <c r="D7" s="23">
        <f>B7*15%</f>
        <v>531930461.39999998</v>
      </c>
      <c r="E7" s="24">
        <f>B7-D7-C7</f>
        <v>3015070138.5999999</v>
      </c>
      <c r="F7" s="23">
        <f>$F$14*B7</f>
        <v>3496998025.7419596</v>
      </c>
      <c r="G7" s="23">
        <f>F7*15%</f>
        <v>524549703.86129391</v>
      </c>
      <c r="H7" s="23">
        <f>$H$14*C7</f>
        <v>-717771.6</v>
      </c>
      <c r="I7" s="23">
        <f>F7-G7-H7</f>
        <v>2973166093.4806657</v>
      </c>
      <c r="J7" s="23">
        <f>I7-E7</f>
        <v>-41904045.119334221</v>
      </c>
      <c r="K7" s="26" t="s">
        <v>29</v>
      </c>
      <c r="L7" s="23">
        <v>3546203076</v>
      </c>
      <c r="M7" s="24">
        <v>-797524</v>
      </c>
      <c r="N7" s="23">
        <f>L7*15%</f>
        <v>531930461.39999998</v>
      </c>
      <c r="O7" s="24">
        <f>L7-N7-M7</f>
        <v>3015070138.5999999</v>
      </c>
      <c r="P7" s="23">
        <f>$P$14*L7</f>
        <v>3496998025.7419596</v>
      </c>
      <c r="Q7" s="23">
        <f>P7*15%</f>
        <v>524549703.86129391</v>
      </c>
      <c r="R7" s="23">
        <f>$R$14*M7</f>
        <v>-717771.6</v>
      </c>
      <c r="S7" s="23">
        <f>P7-Q7-R7</f>
        <v>2973166093.4806657</v>
      </c>
      <c r="T7" s="23">
        <f>S7-O7</f>
        <v>-41904045.119334221</v>
      </c>
      <c r="U7" s="26" t="s">
        <v>29</v>
      </c>
      <c r="V7" s="23">
        <v>3546203076</v>
      </c>
      <c r="W7" s="24">
        <v>-797524</v>
      </c>
      <c r="X7" s="23">
        <f>V7*15%</f>
        <v>531930461.39999998</v>
      </c>
      <c r="Y7" s="24">
        <f>V7-X7-W7</f>
        <v>3015070138.5999999</v>
      </c>
      <c r="Z7" s="23">
        <f>$Z$14*V7</f>
        <v>3496998025.7419596</v>
      </c>
      <c r="AA7" s="23">
        <f>Z7*15%</f>
        <v>524549703.86129391</v>
      </c>
      <c r="AB7" s="23">
        <f>$AB$14*W7</f>
        <v>-717771.6</v>
      </c>
      <c r="AC7" s="23">
        <f>Z7-AA7-AB7</f>
        <v>2973166093.4806657</v>
      </c>
      <c r="AD7" s="23">
        <f>AC7-Y7</f>
        <v>-41904045.119334221</v>
      </c>
      <c r="AE7" s="26" t="s">
        <v>29</v>
      </c>
      <c r="AF7" s="23">
        <v>3546203076</v>
      </c>
      <c r="AG7" s="24">
        <v>-797524</v>
      </c>
      <c r="AH7" s="23">
        <f>AF7*15%</f>
        <v>531930461.39999998</v>
      </c>
      <c r="AI7" s="24">
        <f>AF7-AH7-AG7</f>
        <v>3015070138.5999999</v>
      </c>
      <c r="AJ7" s="23">
        <f>$AJ$14*AF7</f>
        <v>3496998025.7419596</v>
      </c>
      <c r="AK7" s="23">
        <f>AJ7*15%</f>
        <v>524549703.86129391</v>
      </c>
      <c r="AL7" s="23">
        <f>$AL$14*AG7</f>
        <v>-717771.6</v>
      </c>
      <c r="AM7" s="23">
        <f>AJ7-AK7-AL7</f>
        <v>2973166093.4806657</v>
      </c>
      <c r="AN7" s="23">
        <f>AM7-AI7</f>
        <v>-41904045.119334221</v>
      </c>
      <c r="AO7" s="26" t="s">
        <v>29</v>
      </c>
      <c r="AP7" s="23" t="e">
        <f>B7+#REF!+#REF!+#REF!</f>
        <v>#REF!</v>
      </c>
      <c r="AQ7" s="23" t="e">
        <f>C7+#REF!+#REF!+#REF!</f>
        <v>#REF!</v>
      </c>
      <c r="AR7" s="23" t="e">
        <f>D7+#REF!+#REF!+#REF!</f>
        <v>#REF!</v>
      </c>
      <c r="AS7" s="23" t="e">
        <f>E7+#REF!+#REF!+#REF!</f>
        <v>#REF!</v>
      </c>
      <c r="AT7" s="23" t="e">
        <f>F7+#REF!+#REF!+#REF!</f>
        <v>#REF!</v>
      </c>
      <c r="AU7" s="23" t="e">
        <f>G7+#REF!+#REF!+#REF!</f>
        <v>#REF!</v>
      </c>
      <c r="AV7" s="23" t="e">
        <f>H7+#REF!+#REF!+#REF!</f>
        <v>#REF!</v>
      </c>
      <c r="AW7" s="23" t="e">
        <f>I7+#REF!+#REF!+#REF!</f>
        <v>#REF!</v>
      </c>
      <c r="AX7" s="23" t="e">
        <f>J7+#REF!+#REF!+#REF!</f>
        <v>#REF!</v>
      </c>
    </row>
    <row r="8" spans="1:50" s="25" customFormat="1" ht="24.95" customHeight="1">
      <c r="A8" s="27" t="s">
        <v>30</v>
      </c>
      <c r="B8" s="27">
        <f>SUM(B6:B7)</f>
        <v>3549247290</v>
      </c>
      <c r="C8" s="27">
        <f>SUM(C6:C7)</f>
        <v>-676949</v>
      </c>
      <c r="D8" s="27">
        <f>SUM(D6:D7)</f>
        <v>532387093.5</v>
      </c>
      <c r="E8" s="27">
        <f>SUM(E6:E7)</f>
        <v>3017537145.5</v>
      </c>
      <c r="F8" s="27">
        <f>SUM(F6:F7)</f>
        <v>3500000000</v>
      </c>
      <c r="G8" s="27">
        <f>SUM(G6:G7)</f>
        <v>525000000</v>
      </c>
      <c r="H8" s="27">
        <f>SUM(H6:H7)</f>
        <v>-609254.1</v>
      </c>
      <c r="I8" s="27">
        <f>SUM(I6:I7)</f>
        <v>2975609254.0999999</v>
      </c>
      <c r="J8" s="28">
        <f>SUM(J6:J7)</f>
        <v>-41927891.399999797</v>
      </c>
      <c r="K8" s="27" t="s">
        <v>30</v>
      </c>
      <c r="L8" s="27">
        <f>SUM(L6:L7)</f>
        <v>3549247290</v>
      </c>
      <c r="M8" s="27">
        <f>SUM(M6:M7)</f>
        <v>-676949</v>
      </c>
      <c r="N8" s="27">
        <f>SUM(N6:N7)</f>
        <v>532387093.5</v>
      </c>
      <c r="O8" s="27">
        <f>SUM(O6:O7)</f>
        <v>3017537145.5</v>
      </c>
      <c r="P8" s="27">
        <f>SUM(P6:P7)</f>
        <v>3500000000</v>
      </c>
      <c r="Q8" s="27">
        <f>SUM(Q6:Q7)</f>
        <v>525000000</v>
      </c>
      <c r="R8" s="27">
        <f>SUM(R6:R7)</f>
        <v>-609254.1</v>
      </c>
      <c r="S8" s="27">
        <f>SUM(S6:S7)</f>
        <v>2975609254.0999999</v>
      </c>
      <c r="T8" s="28">
        <f>SUM(T6:T7)</f>
        <v>-41927891.399999797</v>
      </c>
      <c r="U8" s="27" t="s">
        <v>30</v>
      </c>
      <c r="V8" s="27">
        <f>SUM(V6:V7)</f>
        <v>3549247290</v>
      </c>
      <c r="W8" s="27">
        <f>SUM(W6:W7)</f>
        <v>-676949</v>
      </c>
      <c r="X8" s="27">
        <f>SUM(X6:X7)</f>
        <v>532387093.5</v>
      </c>
      <c r="Y8" s="27">
        <f>SUM(Y6:Y7)</f>
        <v>3017537145.5</v>
      </c>
      <c r="Z8" s="27">
        <f>SUM(Z6:Z7)</f>
        <v>3500000000</v>
      </c>
      <c r="AA8" s="27">
        <f>SUM(AA6:AA7)</f>
        <v>525000000</v>
      </c>
      <c r="AB8" s="27">
        <f>SUM(AB6:AB7)</f>
        <v>-609254.1</v>
      </c>
      <c r="AC8" s="27">
        <f>SUM(AC6:AC7)</f>
        <v>2975609254.0999999</v>
      </c>
      <c r="AD8" s="28">
        <f>SUM(AD6:AD7)</f>
        <v>-41927891.399999797</v>
      </c>
      <c r="AE8" s="27" t="s">
        <v>30</v>
      </c>
      <c r="AF8" s="27">
        <f>SUM(AF6:AF7)</f>
        <v>3549247290</v>
      </c>
      <c r="AG8" s="27">
        <f>SUM(AG6:AG7)</f>
        <v>-676949</v>
      </c>
      <c r="AH8" s="27">
        <f>SUM(AH6:AH7)</f>
        <v>532387093.5</v>
      </c>
      <c r="AI8" s="27">
        <f>SUM(AI6:AI7)</f>
        <v>3017537145.5</v>
      </c>
      <c r="AJ8" s="27">
        <f>SUM(AJ6:AJ7)</f>
        <v>3500000000</v>
      </c>
      <c r="AK8" s="27">
        <f>SUM(AK6:AK7)</f>
        <v>525000000</v>
      </c>
      <c r="AL8" s="27">
        <f>SUM(AL6:AL7)</f>
        <v>-609254.1</v>
      </c>
      <c r="AM8" s="27">
        <f>SUM(AM6:AM7)</f>
        <v>2975609254.0999999</v>
      </c>
      <c r="AN8" s="28">
        <f>SUM(AN6:AN7)</f>
        <v>-41927891.399999797</v>
      </c>
      <c r="AO8" s="27" t="s">
        <v>30</v>
      </c>
      <c r="AP8" s="27" t="e">
        <f>SUM(AP6:AP7)</f>
        <v>#REF!</v>
      </c>
      <c r="AQ8" s="27" t="e">
        <f>SUM(AQ6:AQ7)</f>
        <v>#REF!</v>
      </c>
      <c r="AR8" s="27" t="e">
        <f>SUM(AR6:AR7)</f>
        <v>#REF!</v>
      </c>
      <c r="AS8" s="27" t="e">
        <f>SUM(AS6:AS7)</f>
        <v>#REF!</v>
      </c>
      <c r="AT8" s="27" t="e">
        <f>SUM(AT6:AT7)</f>
        <v>#REF!</v>
      </c>
      <c r="AU8" s="27" t="e">
        <f>SUM(AU6:AU7)</f>
        <v>#REF!</v>
      </c>
      <c r="AV8" s="27" t="e">
        <f>SUM(AV6:AV7)</f>
        <v>#REF!</v>
      </c>
      <c r="AW8" s="27" t="e">
        <f>SUM(AW6:AW7)</f>
        <v>#REF!</v>
      </c>
      <c r="AX8" s="28" t="e">
        <f>SUM(AX6:AX7)</f>
        <v>#REF!</v>
      </c>
    </row>
    <row r="9" spans="1:50" s="29" customFormat="1" ht="18.75">
      <c r="B9" s="30"/>
      <c r="C9" s="31"/>
      <c r="D9" s="30"/>
      <c r="E9" s="31"/>
      <c r="F9" s="32"/>
      <c r="G9" s="32"/>
      <c r="H9" s="33"/>
      <c r="I9" s="33"/>
      <c r="J9" s="33"/>
      <c r="L9" s="30"/>
      <c r="M9" s="31"/>
      <c r="N9" s="30"/>
      <c r="O9" s="31"/>
      <c r="P9" s="32"/>
      <c r="Q9" s="32"/>
      <c r="R9" s="33"/>
      <c r="S9" s="33"/>
      <c r="T9" s="33"/>
      <c r="V9" s="30"/>
      <c r="W9" s="31"/>
      <c r="X9" s="30"/>
      <c r="Y9" s="31"/>
      <c r="Z9" s="32"/>
      <c r="AA9" s="32"/>
      <c r="AB9" s="33"/>
      <c r="AC9" s="33"/>
      <c r="AD9" s="33"/>
      <c r="AF9" s="30"/>
      <c r="AG9" s="31"/>
      <c r="AH9" s="30"/>
      <c r="AI9" s="31"/>
      <c r="AJ9" s="32"/>
      <c r="AK9" s="32"/>
      <c r="AL9" s="33"/>
      <c r="AM9" s="33"/>
      <c r="AN9" s="33"/>
    </row>
    <row r="10" spans="1:50" s="29" customFormat="1" ht="30" customHeight="1">
      <c r="B10" s="30"/>
      <c r="C10" s="31"/>
      <c r="D10" s="30"/>
      <c r="E10" s="34" t="s">
        <v>31</v>
      </c>
      <c r="F10" s="34"/>
      <c r="G10" s="34"/>
      <c r="H10" s="34"/>
      <c r="I10" s="33"/>
      <c r="J10" s="33"/>
      <c r="L10" s="30"/>
      <c r="M10" s="31"/>
      <c r="N10" s="30"/>
      <c r="O10" s="34" t="s">
        <v>31</v>
      </c>
      <c r="P10" s="34"/>
      <c r="Q10" s="34"/>
      <c r="R10" s="34"/>
      <c r="S10" s="33"/>
      <c r="T10" s="33"/>
      <c r="V10" s="30"/>
      <c r="W10" s="31"/>
      <c r="X10" s="30"/>
      <c r="Y10" s="34" t="s">
        <v>31</v>
      </c>
      <c r="Z10" s="34"/>
      <c r="AA10" s="34"/>
      <c r="AB10" s="34"/>
      <c r="AC10" s="33"/>
      <c r="AD10" s="33"/>
      <c r="AF10" s="30"/>
      <c r="AG10" s="31"/>
      <c r="AH10" s="30"/>
      <c r="AI10" s="34" t="s">
        <v>31</v>
      </c>
      <c r="AJ10" s="34"/>
      <c r="AK10" s="34"/>
      <c r="AL10" s="34"/>
      <c r="AM10" s="33"/>
      <c r="AN10" s="33"/>
    </row>
    <row r="11" spans="1:50" s="29" customFormat="1" ht="27" customHeight="1">
      <c r="A11" s="31"/>
      <c r="C11" s="31"/>
      <c r="E11" s="35" t="s">
        <v>10</v>
      </c>
      <c r="F11" s="35"/>
      <c r="G11" s="35" t="s">
        <v>11</v>
      </c>
      <c r="H11" s="35"/>
      <c r="I11" s="30"/>
      <c r="J11" s="30"/>
      <c r="K11" s="31"/>
      <c r="M11" s="31"/>
      <c r="O11" s="35" t="s">
        <v>10</v>
      </c>
      <c r="P11" s="35"/>
      <c r="Q11" s="35" t="s">
        <v>11</v>
      </c>
      <c r="R11" s="35"/>
      <c r="S11" s="30"/>
      <c r="T11" s="30"/>
      <c r="U11" s="31"/>
      <c r="W11" s="31"/>
      <c r="Y11" s="35" t="s">
        <v>10</v>
      </c>
      <c r="Z11" s="35"/>
      <c r="AA11" s="35" t="s">
        <v>11</v>
      </c>
      <c r="AB11" s="35"/>
      <c r="AC11" s="30"/>
      <c r="AD11" s="30"/>
      <c r="AE11" s="31"/>
      <c r="AG11" s="31"/>
      <c r="AI11" s="35" t="s">
        <v>10</v>
      </c>
      <c r="AJ11" s="35"/>
      <c r="AK11" s="35" t="s">
        <v>11</v>
      </c>
      <c r="AL11" s="35"/>
      <c r="AM11" s="30"/>
      <c r="AN11" s="30"/>
    </row>
    <row r="12" spans="1:50" s="29" customFormat="1" ht="18.75">
      <c r="A12" s="31"/>
      <c r="B12" s="55"/>
      <c r="C12" s="46"/>
      <c r="E12" s="31" t="s">
        <v>32</v>
      </c>
      <c r="F12" s="30">
        <f>B8</f>
        <v>3549247290</v>
      </c>
      <c r="G12" s="36" t="s">
        <v>33</v>
      </c>
      <c r="H12" s="37">
        <v>10</v>
      </c>
      <c r="I12" s="37"/>
      <c r="J12" s="30"/>
      <c r="K12" s="31"/>
      <c r="L12" s="55"/>
      <c r="M12" s="46"/>
      <c r="O12" s="31" t="s">
        <v>32</v>
      </c>
      <c r="P12" s="30">
        <f>L8</f>
        <v>3549247290</v>
      </c>
      <c r="Q12" s="36" t="s">
        <v>33</v>
      </c>
      <c r="R12" s="37">
        <v>10</v>
      </c>
      <c r="S12" s="37"/>
      <c r="T12" s="30"/>
      <c r="U12" s="31"/>
      <c r="V12" s="55"/>
      <c r="W12" s="46"/>
      <c r="Y12" s="31" t="s">
        <v>32</v>
      </c>
      <c r="Z12" s="30">
        <f>V8</f>
        <v>3549247290</v>
      </c>
      <c r="AA12" s="36" t="s">
        <v>33</v>
      </c>
      <c r="AB12" s="37">
        <v>10</v>
      </c>
      <c r="AC12" s="37"/>
      <c r="AD12" s="30"/>
      <c r="AE12" s="31"/>
      <c r="AF12" s="55"/>
      <c r="AG12" s="46"/>
      <c r="AI12" s="31" t="s">
        <v>32</v>
      </c>
      <c r="AJ12" s="30">
        <f>AF8</f>
        <v>3549247290</v>
      </c>
      <c r="AK12" s="36" t="s">
        <v>33</v>
      </c>
      <c r="AL12" s="37">
        <v>10</v>
      </c>
      <c r="AM12" s="37"/>
      <c r="AN12" s="30"/>
    </row>
    <row r="13" spans="1:50" s="29" customFormat="1" ht="18.75">
      <c r="A13" s="38"/>
      <c r="B13" s="56"/>
      <c r="C13" s="57"/>
      <c r="E13" s="38" t="s">
        <v>34</v>
      </c>
      <c r="F13" s="39">
        <v>3500000000</v>
      </c>
      <c r="G13" s="40" t="s">
        <v>35</v>
      </c>
      <c r="H13" s="41">
        <v>9</v>
      </c>
      <c r="I13" s="37"/>
      <c r="J13" s="37"/>
      <c r="K13" s="38"/>
      <c r="L13" s="56"/>
      <c r="M13" s="57"/>
      <c r="O13" s="38" t="s">
        <v>34</v>
      </c>
      <c r="P13" s="39">
        <v>3500000000</v>
      </c>
      <c r="Q13" s="40" t="s">
        <v>35</v>
      </c>
      <c r="R13" s="41">
        <v>9</v>
      </c>
      <c r="S13" s="37"/>
      <c r="T13" s="37"/>
      <c r="U13" s="38"/>
      <c r="V13" s="56"/>
      <c r="W13" s="57"/>
      <c r="Y13" s="38" t="s">
        <v>34</v>
      </c>
      <c r="Z13" s="39">
        <v>3500000000</v>
      </c>
      <c r="AA13" s="40" t="s">
        <v>35</v>
      </c>
      <c r="AB13" s="41">
        <v>9</v>
      </c>
      <c r="AC13" s="37"/>
      <c r="AD13" s="37"/>
      <c r="AE13" s="38"/>
      <c r="AF13" s="56"/>
      <c r="AG13" s="57"/>
      <c r="AI13" s="38" t="s">
        <v>34</v>
      </c>
      <c r="AJ13" s="39">
        <v>3500000000</v>
      </c>
      <c r="AK13" s="40" t="s">
        <v>35</v>
      </c>
      <c r="AL13" s="41">
        <v>9</v>
      </c>
      <c r="AM13" s="37"/>
      <c r="AN13" s="37"/>
    </row>
    <row r="14" spans="1:50" s="29" customFormat="1" ht="18.75">
      <c r="A14" s="38"/>
      <c r="B14" s="42"/>
      <c r="C14" s="31"/>
      <c r="E14" s="38" t="s">
        <v>36</v>
      </c>
      <c r="F14" s="43">
        <f>F13/F12</f>
        <v>0.98612458192508756</v>
      </c>
      <c r="G14" s="40" t="s">
        <v>37</v>
      </c>
      <c r="H14" s="44">
        <f>H13/H12</f>
        <v>0.9</v>
      </c>
      <c r="I14" s="45"/>
      <c r="J14" s="37"/>
      <c r="K14" s="38"/>
      <c r="L14" s="42"/>
      <c r="M14" s="31"/>
      <c r="O14" s="38" t="s">
        <v>36</v>
      </c>
      <c r="P14" s="43">
        <f>P13/P12</f>
        <v>0.98612458192508756</v>
      </c>
      <c r="Q14" s="40" t="s">
        <v>37</v>
      </c>
      <c r="R14" s="44">
        <f>R13/R12</f>
        <v>0.9</v>
      </c>
      <c r="S14" s="45"/>
      <c r="T14" s="37"/>
      <c r="U14" s="38"/>
      <c r="V14" s="42"/>
      <c r="W14" s="31"/>
      <c r="Y14" s="38" t="s">
        <v>36</v>
      </c>
      <c r="Z14" s="43">
        <f>Z13/Z12</f>
        <v>0.98612458192508756</v>
      </c>
      <c r="AA14" s="40" t="s">
        <v>37</v>
      </c>
      <c r="AB14" s="44">
        <f>AB13/AB12</f>
        <v>0.9</v>
      </c>
      <c r="AC14" s="45"/>
      <c r="AD14" s="37"/>
      <c r="AE14" s="38"/>
      <c r="AF14" s="42"/>
      <c r="AG14" s="31"/>
      <c r="AI14" s="38" t="s">
        <v>36</v>
      </c>
      <c r="AJ14" s="43">
        <f>AJ13/AJ12</f>
        <v>0.98612458192508756</v>
      </c>
      <c r="AK14" s="40" t="s">
        <v>37</v>
      </c>
      <c r="AL14" s="44">
        <f>AL13/AL12</f>
        <v>0.9</v>
      </c>
      <c r="AM14" s="45"/>
      <c r="AN14" s="37"/>
    </row>
    <row r="15" spans="1:50" s="29" customFormat="1" ht="18.75">
      <c r="A15" s="38"/>
      <c r="C15" s="31"/>
      <c r="E15" s="38" t="s">
        <v>38</v>
      </c>
      <c r="F15" s="43">
        <f>100%-F14</f>
        <v>1.3875418074912438E-2</v>
      </c>
      <c r="G15" s="40" t="s">
        <v>39</v>
      </c>
      <c r="H15" s="47">
        <f>100%-H14</f>
        <v>9.9999999999999978E-2</v>
      </c>
      <c r="I15" s="45"/>
      <c r="J15" s="45"/>
      <c r="K15" s="38"/>
      <c r="M15" s="31"/>
      <c r="O15" s="38" t="s">
        <v>38</v>
      </c>
      <c r="P15" s="43">
        <f>100%-P14</f>
        <v>1.3875418074912438E-2</v>
      </c>
      <c r="Q15" s="40" t="s">
        <v>39</v>
      </c>
      <c r="R15" s="47">
        <f>100%-R14</f>
        <v>9.9999999999999978E-2</v>
      </c>
      <c r="S15" s="45"/>
      <c r="T15" s="45"/>
      <c r="U15" s="38"/>
      <c r="W15" s="31"/>
      <c r="Y15" s="38" t="s">
        <v>38</v>
      </c>
      <c r="Z15" s="43">
        <f>100%-Z14</f>
        <v>1.3875418074912438E-2</v>
      </c>
      <c r="AA15" s="40" t="s">
        <v>39</v>
      </c>
      <c r="AB15" s="47">
        <f>100%-AB14</f>
        <v>9.9999999999999978E-2</v>
      </c>
      <c r="AC15" s="45"/>
      <c r="AD15" s="45"/>
      <c r="AE15" s="38"/>
      <c r="AG15" s="31"/>
      <c r="AI15" s="38" t="s">
        <v>38</v>
      </c>
      <c r="AJ15" s="43">
        <f>100%-AJ14</f>
        <v>1.3875418074912438E-2</v>
      </c>
      <c r="AK15" s="40" t="s">
        <v>39</v>
      </c>
      <c r="AL15" s="47">
        <f>100%-AL14</f>
        <v>9.9999999999999978E-2</v>
      </c>
      <c r="AM15" s="45"/>
      <c r="AN15" s="45"/>
    </row>
    <row r="16" spans="1:50" s="49" customFormat="1" ht="18.75">
      <c r="A16" s="48"/>
      <c r="C16" s="50"/>
      <c r="E16" s="48" t="s">
        <v>40</v>
      </c>
      <c r="F16" s="51"/>
      <c r="G16" s="51"/>
      <c r="H16" s="52"/>
      <c r="I16" s="53"/>
      <c r="J16" s="54"/>
      <c r="K16" s="48"/>
      <c r="M16" s="50"/>
      <c r="O16" s="48" t="s">
        <v>40</v>
      </c>
      <c r="P16" s="51"/>
      <c r="Q16" s="51"/>
      <c r="R16" s="52"/>
      <c r="S16" s="53"/>
      <c r="T16" s="54"/>
      <c r="U16" s="48"/>
      <c r="W16" s="50"/>
      <c r="Y16" s="48" t="s">
        <v>40</v>
      </c>
      <c r="Z16" s="51"/>
      <c r="AA16" s="51"/>
      <c r="AB16" s="52"/>
      <c r="AC16" s="53"/>
      <c r="AD16" s="54"/>
      <c r="AE16" s="48"/>
      <c r="AG16" s="50"/>
      <c r="AI16" s="48" t="s">
        <v>40</v>
      </c>
      <c r="AJ16" s="51"/>
      <c r="AK16" s="51"/>
      <c r="AL16" s="52"/>
      <c r="AM16" s="53"/>
      <c r="AN16" s="54"/>
    </row>
  </sheetData>
  <mergeCells count="42">
    <mergeCell ref="AI10:AL10"/>
    <mergeCell ref="AI11:AJ11"/>
    <mergeCell ref="AK11:AL11"/>
    <mergeCell ref="O10:R10"/>
    <mergeCell ref="O11:P11"/>
    <mergeCell ref="Q11:R11"/>
    <mergeCell ref="K1:T1"/>
    <mergeCell ref="K2:T2"/>
    <mergeCell ref="K3:K5"/>
    <mergeCell ref="L3:O3"/>
    <mergeCell ref="P3:S3"/>
    <mergeCell ref="T3:T4"/>
    <mergeCell ref="AT3:AW3"/>
    <mergeCell ref="AX3:AX4"/>
    <mergeCell ref="E10:H10"/>
    <mergeCell ref="E11:F11"/>
    <mergeCell ref="G11:H11"/>
    <mergeCell ref="Y10:AB10"/>
    <mergeCell ref="Y11:Z11"/>
    <mergeCell ref="AA11:AB11"/>
    <mergeCell ref="AO3:AO5"/>
    <mergeCell ref="AP3:AS3"/>
    <mergeCell ref="AJ3:AM3"/>
    <mergeCell ref="AN3:AN4"/>
    <mergeCell ref="AE3:AE5"/>
    <mergeCell ref="AF3:AI3"/>
    <mergeCell ref="U3:U5"/>
    <mergeCell ref="V3:Y3"/>
    <mergeCell ref="Z3:AC3"/>
    <mergeCell ref="AD3:AD4"/>
    <mergeCell ref="A3:A5"/>
    <mergeCell ref="B3:E3"/>
    <mergeCell ref="F3:I3"/>
    <mergeCell ref="J3:J4"/>
    <mergeCell ref="A1:J1"/>
    <mergeCell ref="U1:AD1"/>
    <mergeCell ref="AO1:AX1"/>
    <mergeCell ref="AE1:AN1"/>
    <mergeCell ref="A2:J2"/>
    <mergeCell ref="U2:AD2"/>
    <mergeCell ref="AO2:AX2"/>
    <mergeCell ref="AE2:AN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997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2015-07-14T06:21:32Z</dcterms:modified>
</cp:coreProperties>
</file>